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HJ-PYTHON\PythonProject\CyGES\"/>
    </mc:Choice>
  </mc:AlternateContent>
  <xr:revisionPtr revIDLastSave="0" documentId="13_ncr:1_{EC978802-473F-441C-B1C6-2EAA73007350}" xr6:coauthVersionLast="36" xr6:coauthVersionMax="36" xr10:uidLastSave="{00000000-0000-0000-0000-000000000000}"/>
  <bookViews>
    <workbookView xWindow="0" yWindow="0" windowWidth="27945" windowHeight="12375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79021"/>
</workbook>
</file>

<file path=xl/calcChain.xml><?xml version="1.0" encoding="utf-8"?>
<calcChain xmlns="http://schemas.openxmlformats.org/spreadsheetml/2006/main">
  <c r="I23" i="2" l="1"/>
  <c r="I22" i="2"/>
  <c r="I21" i="2"/>
  <c r="I20" i="2"/>
  <c r="I24" i="2" s="1"/>
  <c r="I9" i="2"/>
  <c r="I8" i="2"/>
  <c r="I7" i="2"/>
  <c r="I6" i="2"/>
  <c r="I5" i="2"/>
  <c r="I4" i="2"/>
  <c r="I3" i="2"/>
  <c r="I2" i="2"/>
  <c r="I10" i="2" s="1"/>
  <c r="I25" i="2" s="1"/>
  <c r="D4" i="1"/>
  <c r="D5" i="1" s="1"/>
  <c r="D6" i="1" s="1"/>
  <c r="D7" i="1" s="1"/>
  <c r="D8" i="1" s="1"/>
  <c r="D9" i="1" s="1"/>
  <c r="E5" i="1"/>
  <c r="E6" i="1"/>
  <c r="E7" i="1" s="1"/>
  <c r="E8" i="1" s="1"/>
  <c r="C14" i="1"/>
  <c r="C15" i="1" s="1"/>
  <c r="C16" i="1" s="1"/>
  <c r="C17" i="1" s="1"/>
  <c r="F13" i="1"/>
  <c r="F17" i="1"/>
  <c r="E14" i="1" l="1"/>
  <c r="D14" i="1"/>
  <c r="D15" i="1" s="1"/>
  <c r="D16" i="1" s="1"/>
  <c r="E20" i="1"/>
  <c r="G20" i="1"/>
  <c r="F14" i="1"/>
  <c r="G14" i="1"/>
  <c r="G13" i="1"/>
  <c r="F20" i="1"/>
  <c r="G17" i="1"/>
  <c r="H13" i="1" l="1"/>
  <c r="E24" i="1"/>
  <c r="E15" i="1"/>
  <c r="E16" i="1"/>
  <c r="H17" i="1"/>
  <c r="H14" i="1"/>
  <c r="G18" i="1"/>
  <c r="E21" i="1"/>
  <c r="D21" i="1"/>
  <c r="G24" i="1"/>
  <c r="G21" i="1"/>
  <c r="G16" i="1"/>
  <c r="G15" i="1"/>
  <c r="F21" i="1"/>
  <c r="F16" i="1"/>
  <c r="F2" i="1"/>
  <c r="F24" i="1"/>
  <c r="F15" i="1"/>
  <c r="G2" i="1"/>
  <c r="I2" i="1" l="1"/>
  <c r="D22" i="1"/>
  <c r="H15" i="1"/>
  <c r="G25" i="1"/>
  <c r="H16" i="1"/>
  <c r="E22" i="1"/>
  <c r="F22" i="1"/>
  <c r="G22" i="1"/>
  <c r="D23" i="1" l="1"/>
  <c r="E23" i="1"/>
  <c r="G23" i="1"/>
  <c r="F23" i="1"/>
  <c r="E3" i="1" l="1"/>
  <c r="E4" i="1" l="1"/>
  <c r="E9" i="1" l="1"/>
  <c r="D3" i="1" l="1"/>
  <c r="F10" i="1"/>
  <c r="G10" i="1"/>
  <c r="G3" i="1"/>
  <c r="F3" i="1"/>
  <c r="I3" i="1" l="1"/>
  <c r="H10" i="1"/>
  <c r="H2" i="1"/>
  <c r="G11" i="1"/>
  <c r="C20" i="1" s="1"/>
  <c r="H3" i="1"/>
  <c r="F4" i="1"/>
  <c r="G4" i="1"/>
  <c r="I4" i="1" l="1"/>
  <c r="I20" i="1"/>
  <c r="H20" i="1"/>
  <c r="C21" i="1"/>
  <c r="H22" i="1"/>
  <c r="H24" i="1"/>
  <c r="H21" i="1"/>
  <c r="H23" i="1"/>
  <c r="H4" i="1"/>
  <c r="F5" i="1"/>
  <c r="G9" i="1"/>
  <c r="F9" i="1"/>
  <c r="G5" i="1"/>
  <c r="I9" i="1" l="1"/>
  <c r="I5" i="1"/>
  <c r="I21" i="1"/>
  <c r="C22" i="1"/>
  <c r="H5" i="1"/>
  <c r="H9" i="1"/>
  <c r="G6" i="1"/>
  <c r="F6" i="1"/>
  <c r="I6" i="1" l="1"/>
  <c r="I22" i="1"/>
  <c r="C23" i="1"/>
  <c r="H6" i="1"/>
  <c r="G7" i="1"/>
  <c r="F7" i="1"/>
  <c r="I7" i="1" l="1"/>
  <c r="I23" i="1"/>
  <c r="I24" i="1" s="1"/>
  <c r="C24" i="1"/>
  <c r="H7" i="1"/>
  <c r="G8" i="1"/>
  <c r="F8" i="1"/>
  <c r="I8" i="1" l="1"/>
  <c r="I10" i="1" s="1"/>
  <c r="I25" i="1"/>
  <c r="H8" i="1"/>
</calcChain>
</file>

<file path=xl/sharedStrings.xml><?xml version="1.0" encoding="utf-8"?>
<sst xmlns="http://schemas.openxmlformats.org/spreadsheetml/2006/main" count="60" uniqueCount="27">
  <si>
    <t>流量</t>
  </si>
  <si>
    <t>流量</t>
    <phoneticPr fontId="2" type="noConversion"/>
  </si>
  <si>
    <t>Air</t>
  </si>
  <si>
    <t>Air</t>
    <phoneticPr fontId="2" type="noConversion"/>
  </si>
  <si>
    <t>空气放热1</t>
  </si>
  <si>
    <t>空气放热1</t>
    <phoneticPr fontId="2" type="noConversion"/>
  </si>
  <si>
    <t>工质</t>
  </si>
  <si>
    <t>工质</t>
    <phoneticPr fontId="2" type="noConversion"/>
  </si>
  <si>
    <t>温度</t>
  </si>
  <si>
    <t>温度</t>
    <phoneticPr fontId="2" type="noConversion"/>
  </si>
  <si>
    <t>压力</t>
  </si>
  <si>
    <t>压力</t>
    <phoneticPr fontId="2" type="noConversion"/>
  </si>
  <si>
    <t>焓值</t>
  </si>
  <si>
    <t>焓值</t>
    <phoneticPr fontId="2" type="noConversion"/>
  </si>
  <si>
    <t>火积</t>
    <phoneticPr fontId="2" type="noConversion"/>
  </si>
  <si>
    <t>比热容</t>
  </si>
  <si>
    <t>比热容</t>
    <phoneticPr fontId="2" type="noConversion"/>
  </si>
  <si>
    <t>氢气吸热1</t>
  </si>
  <si>
    <t>氢气吸热1</t>
    <phoneticPr fontId="2" type="noConversion"/>
  </si>
  <si>
    <t>Hydrogen</t>
  </si>
  <si>
    <t>Hydrogen</t>
    <phoneticPr fontId="2" type="noConversion"/>
  </si>
  <si>
    <t>氦气吸热1</t>
  </si>
  <si>
    <t>氦气吸热1</t>
    <phoneticPr fontId="2" type="noConversion"/>
  </si>
  <si>
    <t>helium</t>
  </si>
  <si>
    <t>helium</t>
    <phoneticPr fontId="2" type="noConversion"/>
  </si>
  <si>
    <t>能量</t>
  </si>
  <si>
    <t>能量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</si>
</sst>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Sheet1!$H$2:$H$10</c:f>
              <c:numCache>
                <c:formatCode>General</c:formatCode>
                <c:ptCount val="9"/>
                <c:pt idx="0">
                  <c:v>83903.265013648983</c:v>
                </c:pt>
                <c:pt idx="1">
                  <c:v>72804.767004084599</c:v>
                </c:pt>
                <c:pt idx="2">
                  <c:v>61847.879915245321</c:v>
                </c:pt>
                <c:pt idx="3">
                  <c:v>51050.820088155779</c:v>
                </c:pt>
                <c:pt idx="4">
                  <c:v>40432.688597449458</c:v>
                </c:pt>
                <c:pt idx="5">
                  <c:v>30011.481975905721</c:v>
                </c:pt>
                <c:pt idx="6">
                  <c:v>19800.40262465283</c:v>
                </c:pt>
                <c:pt idx="7">
                  <c:v>9801.9279135703764</c:v>
                </c:pt>
                <c:pt idx="8">
                  <c:v>0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1236.8</c:v>
                </c:pt>
                <c:pt idx="1">
                  <c:v>1142.2</c:v>
                </c:pt>
                <c:pt idx="2">
                  <c:v>1047.6000000000001</c:v>
                </c:pt>
                <c:pt idx="3">
                  <c:v>953.00000000000011</c:v>
                </c:pt>
                <c:pt idx="4">
                  <c:v>858.40000000000009</c:v>
                </c:pt>
                <c:pt idx="5">
                  <c:v>763.80000000000007</c:v>
                </c:pt>
                <c:pt idx="6">
                  <c:v>669.2</c:v>
                </c:pt>
                <c:pt idx="7">
                  <c:v>574.6</c:v>
                </c:pt>
                <c:pt idx="8">
                  <c:v>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2-4C0E-B7C3-CA23B26AD10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Sheet1!$H$20:$H$24</c:f>
              <c:numCache>
                <c:formatCode>General</c:formatCode>
                <c:ptCount val="5"/>
                <c:pt idx="0">
                  <c:v>0</c:v>
                </c:pt>
                <c:pt idx="1">
                  <c:v>20975.838368019162</c:v>
                </c:pt>
                <c:pt idx="2">
                  <c:v>41951.544449271256</c:v>
                </c:pt>
                <c:pt idx="3">
                  <c:v>62927.332693498829</c:v>
                </c:pt>
                <c:pt idx="4">
                  <c:v>83903.265013648968</c:v>
                </c:pt>
              </c:numCache>
            </c:numRef>
          </c:xVal>
          <c:yVal>
            <c:numRef>
              <c:f>Sheet1!$D$20:$D$24</c:f>
              <c:numCache>
                <c:formatCode>General</c:formatCode>
                <c:ptCount val="5"/>
                <c:pt idx="0">
                  <c:v>479</c:v>
                </c:pt>
                <c:pt idx="1">
                  <c:v>609.25</c:v>
                </c:pt>
                <c:pt idx="2">
                  <c:v>739.5</c:v>
                </c:pt>
                <c:pt idx="3">
                  <c:v>869.75</c:v>
                </c:pt>
                <c:pt idx="4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D2-4C0E-B7C3-CA23B26AD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38240"/>
        <c:axId val="594335616"/>
      </c:scatterChart>
      <c:valAx>
        <c:axId val="5943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335616"/>
        <c:crosses val="autoZero"/>
        <c:crossBetween val="midCat"/>
      </c:valAx>
      <c:valAx>
        <c:axId val="5943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3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290512</xdr:colOff>
      <xdr:row>12</xdr:row>
      <xdr:rowOff>90487</xdr:rowOff>
    </xdr:from>
    <xdr:to>
      <xdr:col>19</xdr:col>
      <xdr:colOff>61912</xdr:colOff>
      <xdr:row>28</xdr:row>
      <xdr:rowOff>90487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680EA45-6B50-4C00-BDB1-97BD5D009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STRefprop9.1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Cp"/>
      <definedName name="Enthalp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I3" sqref="I3"/>
    </sheetView>
  </sheetViews>
  <sheetFormatPr defaultColWidth="9" defaultRowHeight="13.5" x14ac:dyDescent="0.15"/>
  <cols>
    <col min="1" max="1" width="10" bestFit="1" customWidth="1"/>
    <col min="2" max="2" width="9.5" bestFit="1" customWidth="1"/>
    <col min="3" max="3" width="8" customWidth="1"/>
    <col min="4" max="5" width="8.5" bestFit="1" customWidth="1"/>
    <col min="6" max="7" width="12.75" bestFit="1" customWidth="1"/>
    <col min="8" max="8" width="12.75" customWidth="1"/>
    <col min="9" max="9" width="12.75" bestFit="1" customWidth="1"/>
  </cols>
  <sheetData>
    <row r="1" spans="1:11" x14ac:dyDescent="0.15">
      <c r="B1" s="1" t="s">
        <v>7</v>
      </c>
      <c r="C1" s="1" t="s">
        <v>1</v>
      </c>
      <c r="D1" s="1" t="s">
        <v>9</v>
      </c>
      <c r="E1" s="1" t="s">
        <v>11</v>
      </c>
      <c r="F1" s="1" t="s">
        <v>16</v>
      </c>
      <c r="G1" s="1" t="s">
        <v>13</v>
      </c>
      <c r="H1" s="1" t="s">
        <v>26</v>
      </c>
      <c r="I1" s="1" t="s">
        <v>14</v>
      </c>
      <c r="J1" s="1"/>
      <c r="K1" s="1"/>
    </row>
    <row r="2" spans="1:11" x14ac:dyDescent="0.15">
      <c r="A2" s="4" t="s">
        <v>5</v>
      </c>
      <c r="B2" s="1" t="s">
        <v>3</v>
      </c>
      <c r="C2">
        <v>100</v>
      </c>
      <c r="D2">
        <v>1236.8</v>
      </c>
      <c r="E2">
        <v>206.7</v>
      </c>
      <c r="F2">
        <f>[1]!Cp(B2,"TP","SI",D2,E2/1000)</f>
        <v>1.1800906716906889</v>
      </c>
      <c r="G2" s="1">
        <f>[1]!Enthalpy(B2,"TP","SI",D2,E2/1000)</f>
        <v>1321.8598756576844</v>
      </c>
      <c r="H2" s="1">
        <f>G2*C$2-(G$10*C$2)</f>
        <v>83903.265013648983</v>
      </c>
      <c r="I2" s="3">
        <f>D2*F2*(D2-D3)*C2</f>
        <v>13807211.910387024</v>
      </c>
    </row>
    <row r="3" spans="1:11" x14ac:dyDescent="0.15">
      <c r="A3" s="4"/>
      <c r="B3" s="1" t="s">
        <v>3</v>
      </c>
      <c r="C3">
        <v>100</v>
      </c>
      <c r="D3">
        <f>(D$10-D$2)/8+D2</f>
        <v>1142.2</v>
      </c>
      <c r="E3">
        <f>(E$10-E$2)/4+E2</f>
        <v>206.7</v>
      </c>
      <c r="F3">
        <f>[1]!Cp(B3,"TP","SI",D3,E3/1000)</f>
        <v>1.166025007912618</v>
      </c>
      <c r="G3" s="1">
        <f>[1]!Enthalpy(B3,"TP","SI",D3,E3/1000)</f>
        <v>1210.8748955620408</v>
      </c>
      <c r="H3" s="1">
        <f>G3*C$2-(G$10*C$2)</f>
        <v>72804.767004084599</v>
      </c>
      <c r="I3" s="3">
        <f t="shared" ref="I3:I9" si="0">D3*F3*(D3-D4)*C3</f>
        <v>12599147.407797502</v>
      </c>
    </row>
    <row r="4" spans="1:11" x14ac:dyDescent="0.15">
      <c r="A4" s="4"/>
      <c r="B4" s="1" t="s">
        <v>3</v>
      </c>
      <c r="C4">
        <v>100</v>
      </c>
      <c r="D4">
        <f t="shared" ref="D4:D9" si="1">(D$10-D$2)/8+D3</f>
        <v>1047.6000000000001</v>
      </c>
      <c r="E4">
        <f>(E$10-E$2)/4+E3</f>
        <v>206.7</v>
      </c>
      <c r="F4">
        <f>[1]!Cp(B4,"TP","SI",D4,E4/1000)</f>
        <v>1.1501191905539325</v>
      </c>
      <c r="G4" s="1">
        <f>[1]!Enthalpy(B4,"TP","SI",D4,E4/1000)</f>
        <v>1101.3060246736479</v>
      </c>
      <c r="H4" s="1">
        <f>G4*C$2-(G$10*C$2)</f>
        <v>61847.879915245321</v>
      </c>
      <c r="I4" s="3">
        <f t="shared" si="0"/>
        <v>11398021.613669878</v>
      </c>
    </row>
    <row r="5" spans="1:11" x14ac:dyDescent="0.15">
      <c r="A5" s="4"/>
      <c r="B5" s="1" t="s">
        <v>3</v>
      </c>
      <c r="C5">
        <v>100</v>
      </c>
      <c r="D5">
        <f t="shared" si="1"/>
        <v>953.00000000000011</v>
      </c>
      <c r="E5">
        <f t="shared" ref="E5:E8" si="2">(E$10-E$2)/4+E4</f>
        <v>206.7</v>
      </c>
      <c r="F5">
        <f>[1]!Cp(B5,"TP","SI",D5,E5/1000)</f>
        <v>1.1322174395022249</v>
      </c>
      <c r="G5" s="1">
        <f>[1]!Enthalpy(B5,"TP","SI",D5,E5/1000)</f>
        <v>993.33542640275255</v>
      </c>
      <c r="H5" s="1">
        <f t="shared" ref="H5:H8" si="3">G5*C$2-(G$10*C$2)</f>
        <v>51050.820088155779</v>
      </c>
      <c r="I5" s="3">
        <f t="shared" si="0"/>
        <v>10207370.459739571</v>
      </c>
    </row>
    <row r="6" spans="1:11" x14ac:dyDescent="0.15">
      <c r="A6" s="4"/>
      <c r="B6" s="1" t="s">
        <v>3</v>
      </c>
      <c r="C6">
        <v>100</v>
      </c>
      <c r="D6">
        <f t="shared" si="1"/>
        <v>858.40000000000009</v>
      </c>
      <c r="E6">
        <f t="shared" si="2"/>
        <v>206.7</v>
      </c>
      <c r="F6">
        <f>[1]!Cp(B6,"TP","SI",D6,E6/1000)</f>
        <v>1.1123072581027187</v>
      </c>
      <c r="G6" s="1">
        <f>[1]!Enthalpy(B6,"TP","SI",D6,E6/1000)</f>
        <v>887.15411149568934</v>
      </c>
      <c r="H6" s="1">
        <f t="shared" si="3"/>
        <v>40432.688597449458</v>
      </c>
      <c r="I6" s="3">
        <f t="shared" si="0"/>
        <v>9032451.0463618375</v>
      </c>
    </row>
    <row r="7" spans="1:11" x14ac:dyDescent="0.15">
      <c r="A7" s="4"/>
      <c r="B7" s="1" t="s">
        <v>3</v>
      </c>
      <c r="C7">
        <v>100</v>
      </c>
      <c r="D7">
        <f t="shared" si="1"/>
        <v>763.80000000000007</v>
      </c>
      <c r="E7">
        <f t="shared" si="2"/>
        <v>206.7</v>
      </c>
      <c r="F7">
        <f>[1]!Cp(B7,"TP","SI",D7,E7/1000)</f>
        <v>1.0906646099673785</v>
      </c>
      <c r="G7" s="1">
        <f>[1]!Enthalpy(B7,"TP","SI",D7,E7/1000)</f>
        <v>782.94204528025193</v>
      </c>
      <c r="H7" s="1">
        <f t="shared" si="3"/>
        <v>30011.481975905721</v>
      </c>
      <c r="I7" s="3">
        <f t="shared" si="0"/>
        <v>7880649.491220573</v>
      </c>
    </row>
    <row r="8" spans="1:11" x14ac:dyDescent="0.15">
      <c r="A8" s="4"/>
      <c r="B8" s="1" t="s">
        <v>3</v>
      </c>
      <c r="C8">
        <v>100</v>
      </c>
      <c r="D8">
        <f t="shared" si="1"/>
        <v>669.2</v>
      </c>
      <c r="E8">
        <f t="shared" si="2"/>
        <v>206.7</v>
      </c>
      <c r="F8">
        <f>[1]!Cp(B8,"TP","SI",D8,E8/1000)</f>
        <v>1.068067882594504</v>
      </c>
      <c r="G8" s="1">
        <f>[1]!Enthalpy(B8,"TP","SI",D8,E8/1000)</f>
        <v>680.83125176772307</v>
      </c>
      <c r="H8" s="1">
        <f t="shared" si="3"/>
        <v>19800.40262465283</v>
      </c>
      <c r="I8" s="3">
        <f t="shared" si="0"/>
        <v>6761544.7157250121</v>
      </c>
    </row>
    <row r="9" spans="1:11" x14ac:dyDescent="0.15">
      <c r="A9" s="4"/>
      <c r="B9" s="1" t="s">
        <v>3</v>
      </c>
      <c r="C9">
        <v>100</v>
      </c>
      <c r="D9">
        <f t="shared" si="1"/>
        <v>574.6</v>
      </c>
      <c r="E9">
        <f>(E$10-E$2)/4+E4</f>
        <v>206.7</v>
      </c>
      <c r="F9">
        <f>[1]!Cp(B9,"TP","SI",D9,E9/1000)</f>
        <v>1.046043833441078</v>
      </c>
      <c r="G9" s="1">
        <f>[1]!Enthalpy(B9,"TP","SI",D9,E9/1000)</f>
        <v>580.84650465689845</v>
      </c>
      <c r="H9" s="1">
        <f>G9*C$2-(G$10*C$2)</f>
        <v>9801.9279135703764</v>
      </c>
      <c r="I9" s="3">
        <f t="shared" si="0"/>
        <v>5685997.2021370046</v>
      </c>
    </row>
    <row r="10" spans="1:11" x14ac:dyDescent="0.15">
      <c r="A10" s="4"/>
      <c r="B10" s="1" t="s">
        <v>3</v>
      </c>
      <c r="C10">
        <v>100</v>
      </c>
      <c r="D10">
        <v>480</v>
      </c>
      <c r="E10">
        <v>206.7</v>
      </c>
      <c r="F10">
        <f>[1]!Cp(B10,"TP","SI",D10,E10/1000)</f>
        <v>1.0269724576965171</v>
      </c>
      <c r="G10" s="1">
        <f>[1]!Enthalpy(B10,"TP","SI",D10,E10/1000)</f>
        <v>482.82722552119469</v>
      </c>
      <c r="H10" s="1">
        <f>G10*C$2-(G$10*C$2)</f>
        <v>0</v>
      </c>
      <c r="I10" s="2">
        <f>SUM(I2:I9)</f>
        <v>77372393.847038403</v>
      </c>
    </row>
    <row r="11" spans="1:11" x14ac:dyDescent="0.15">
      <c r="B11" s="1"/>
      <c r="G11">
        <f>(G2-G10)</f>
        <v>839.03265013648968</v>
      </c>
      <c r="H11" s="1"/>
    </row>
    <row r="13" spans="1:11" x14ac:dyDescent="0.15">
      <c r="A13" s="4" t="s">
        <v>18</v>
      </c>
      <c r="B13" s="1" t="s">
        <v>20</v>
      </c>
      <c r="C13">
        <v>0</v>
      </c>
      <c r="D13">
        <v>20</v>
      </c>
      <c r="E13">
        <v>1000</v>
      </c>
      <c r="F13">
        <f>[1]!Cp(B13,"TP","SI",D13,E13/1000)</f>
        <v>9.203011867234169</v>
      </c>
      <c r="G13" s="1">
        <f>[1]!Enthalpy(B13,"TP","SI",D13,E13/1000)</f>
        <v>5.1133399952226499</v>
      </c>
      <c r="H13" s="1">
        <f>G13*C$13-(G$13*C$13)</f>
        <v>0</v>
      </c>
    </row>
    <row r="14" spans="1:11" x14ac:dyDescent="0.15">
      <c r="A14" s="4"/>
      <c r="B14" s="1" t="s">
        <v>20</v>
      </c>
      <c r="C14">
        <f>C13</f>
        <v>0</v>
      </c>
      <c r="D14">
        <f>(D$17-D$13)/4+D13</f>
        <v>165</v>
      </c>
      <c r="E14">
        <f>(E$17-E$13)/4+E13</f>
        <v>1000</v>
      </c>
      <c r="F14">
        <f>[1]!Cp(B14,"TP","SI",D14,E14/1000)</f>
        <v>13.031266978103508</v>
      </c>
      <c r="G14" s="1">
        <f>[1]!Enthalpy(B14,"TP","SI",D14,E14/1000)</f>
        <v>2090.5112442991367</v>
      </c>
      <c r="H14" s="1">
        <f>G14*C$13-(G$13*C$13)</f>
        <v>0</v>
      </c>
    </row>
    <row r="15" spans="1:11" x14ac:dyDescent="0.15">
      <c r="A15" s="4"/>
      <c r="B15" s="1" t="s">
        <v>20</v>
      </c>
      <c r="C15">
        <f t="shared" ref="C15:C17" si="4">C14</f>
        <v>0</v>
      </c>
      <c r="D15">
        <f t="shared" ref="D15:D16" si="5">(D$17-D$13)/4+D14</f>
        <v>310</v>
      </c>
      <c r="E15">
        <f t="shared" ref="E15:E16" si="6">(E$17-E$13)/4+E14</f>
        <v>1000</v>
      </c>
      <c r="F15">
        <f>[1]!Cp(B15,"TP","SI",D15,E15/1000)</f>
        <v>14.367491002461577</v>
      </c>
      <c r="G15" s="1">
        <f>[1]!Enthalpy(B15,"TP","SI",D15,E15/1000)</f>
        <v>4105.7330868286535</v>
      </c>
      <c r="H15" s="1">
        <f>G15*C$13-(G$13*C$13)</f>
        <v>0</v>
      </c>
    </row>
    <row r="16" spans="1:11" x14ac:dyDescent="0.15">
      <c r="A16" s="4"/>
      <c r="B16" s="1" t="s">
        <v>20</v>
      </c>
      <c r="C16">
        <f t="shared" si="4"/>
        <v>0</v>
      </c>
      <c r="D16">
        <f t="shared" si="5"/>
        <v>455</v>
      </c>
      <c r="E16">
        <f t="shared" si="6"/>
        <v>1000</v>
      </c>
      <c r="F16">
        <f>[1]!Cp(B16,"TP","SI",D16,E16/1000)</f>
        <v>14.51033575732764</v>
      </c>
      <c r="G16" s="1">
        <f>[1]!Enthalpy(B16,"TP","SI",D16,E16/1000)</f>
        <v>6203.5167960827885</v>
      </c>
      <c r="H16" s="1">
        <f>G16*C$13-(G$13*C$13)</f>
        <v>0</v>
      </c>
    </row>
    <row r="17" spans="1:9" x14ac:dyDescent="0.15">
      <c r="A17" s="4"/>
      <c r="B17" s="1" t="s">
        <v>20</v>
      </c>
      <c r="C17">
        <f t="shared" si="4"/>
        <v>0</v>
      </c>
      <c r="D17">
        <v>600</v>
      </c>
      <c r="E17">
        <v>1000</v>
      </c>
      <c r="F17">
        <f>[1]!Cp(B17,"TP","SI",D17,E17/1000)</f>
        <v>14.553600206870387</v>
      </c>
      <c r="G17" s="1">
        <f>[1]!Enthalpy(B17,"TP","SI",D17,E17/1000)</f>
        <v>8310.1727483254435</v>
      </c>
      <c r="H17" s="1">
        <f>G17*C$13-(G$13*C$13)</f>
        <v>0</v>
      </c>
    </row>
    <row r="18" spans="1:9" x14ac:dyDescent="0.15">
      <c r="B18" s="1"/>
      <c r="G18">
        <f>(G13-G17)</f>
        <v>-8305.0594083302203</v>
      </c>
      <c r="H18" s="1"/>
    </row>
    <row r="20" spans="1:9" x14ac:dyDescent="0.15">
      <c r="A20" s="4" t="s">
        <v>22</v>
      </c>
      <c r="B20" s="1" t="s">
        <v>24</v>
      </c>
      <c r="C20">
        <f>(C2*G11+C13*G18)/-G25</f>
        <v>31.01387949739668</v>
      </c>
      <c r="D20">
        <v>479</v>
      </c>
      <c r="E20">
        <f>E17</f>
        <v>1000</v>
      </c>
      <c r="F20">
        <f>[1]!Cp(B20,"TP","SI",D20,E20/1000)</f>
        <v>5.1926640958154477</v>
      </c>
      <c r="G20" s="1">
        <f>[1]!Enthalpy(B20,"TP","SI",D20,E20/1000)</f>
        <v>2495.904909465708</v>
      </c>
      <c r="H20" s="1">
        <f>G20*C$20-(G$20*C$20)</f>
        <v>0</v>
      </c>
      <c r="I20" s="3">
        <f>D20*F20*(D20-D21)*C20</f>
        <v>-10047535.985026088</v>
      </c>
    </row>
    <row r="21" spans="1:9" x14ac:dyDescent="0.15">
      <c r="A21" s="4"/>
      <c r="B21" s="1" t="s">
        <v>24</v>
      </c>
      <c r="C21">
        <f>C20</f>
        <v>31.01387949739668</v>
      </c>
      <c r="D21">
        <f t="shared" ref="D21:E23" si="7">(D$24-D$20)/4+D20</f>
        <v>609.25</v>
      </c>
      <c r="E21">
        <f t="shared" si="7"/>
        <v>1000</v>
      </c>
      <c r="F21">
        <f>[1]!Cp(B21,"TP","SI",D21,E21/1000)</f>
        <v>5.1925766916005189</v>
      </c>
      <c r="G21" s="1">
        <f>[1]!Enthalpy(B21,"TP","SI",D21,E21/1000)</f>
        <v>3172.2420432892882</v>
      </c>
      <c r="H21" s="1">
        <f>G21*C$20-(G$20*C$20)</f>
        <v>20975.838368019162</v>
      </c>
      <c r="I21" s="3">
        <f t="shared" ref="I21:I23" si="8">D21*F21*(D21-D22)*C21</f>
        <v>-12779453.571850609</v>
      </c>
    </row>
    <row r="22" spans="1:9" x14ac:dyDescent="0.15">
      <c r="A22" s="4"/>
      <c r="B22" s="1" t="s">
        <v>24</v>
      </c>
      <c r="C22">
        <f t="shared" ref="C22:C24" si="9">C21</f>
        <v>31.01387949739668</v>
      </c>
      <c r="D22">
        <f t="shared" si="7"/>
        <v>739.5</v>
      </c>
      <c r="E22">
        <f t="shared" si="7"/>
        <v>1000</v>
      </c>
      <c r="F22">
        <f>[1]!Cp(B22,"TP","SI",D22,E22/1000)</f>
        <v>5.1925806146722318</v>
      </c>
      <c r="G22" s="1">
        <f>[1]!Enthalpy(B22,"TP","SI",D22,E22/1000)</f>
        <v>3848.5749117075329</v>
      </c>
      <c r="H22" s="1">
        <f>G22*C$20-(G$20*C$20)</f>
        <v>41951.544449271256</v>
      </c>
      <c r="I22" s="3">
        <f t="shared" si="8"/>
        <v>-15511552.000510193</v>
      </c>
    </row>
    <row r="23" spans="1:9" x14ac:dyDescent="0.15">
      <c r="A23" s="4"/>
      <c r="B23" s="1" t="s">
        <v>24</v>
      </c>
      <c r="C23">
        <f t="shared" si="9"/>
        <v>31.01387949739668</v>
      </c>
      <c r="D23">
        <f t="shared" si="7"/>
        <v>869.75</v>
      </c>
      <c r="E23">
        <f t="shared" si="7"/>
        <v>1000</v>
      </c>
      <c r="F23">
        <f>[1]!Cp(B23,"TP","SI",D23,E23/1000)</f>
        <v>5.1926118900439313</v>
      </c>
      <c r="G23" s="1">
        <f>[1]!Enthalpy(B23,"TP","SI",D23,E23/1000)</f>
        <v>4524.9104293582122</v>
      </c>
      <c r="H23" s="1">
        <f>G23*C$20-(G$20*C$20)</f>
        <v>62927.332693498829</v>
      </c>
      <c r="I23" s="3">
        <f t="shared" si="8"/>
        <v>-18243750.657155491</v>
      </c>
    </row>
    <row r="24" spans="1:9" x14ac:dyDescent="0.15">
      <c r="A24" s="4"/>
      <c r="B24" s="1" t="s">
        <v>24</v>
      </c>
      <c r="C24">
        <f t="shared" si="9"/>
        <v>31.01387949739668</v>
      </c>
      <c r="D24">
        <v>1000</v>
      </c>
      <c r="E24">
        <f>E20</f>
        <v>1000</v>
      </c>
      <c r="F24">
        <f>[1]!Cp(B24,"TP","SI",D24,E24/1000)</f>
        <v>5.1926500769166504</v>
      </c>
      <c r="G24" s="1">
        <f>[1]!Enthalpy(B24,"TP","SI",D24,E24/1000)</f>
        <v>5201.2505925393734</v>
      </c>
      <c r="H24" s="1">
        <f>G24*C$20-(G$20*C$20)</f>
        <v>83903.265013648968</v>
      </c>
      <c r="I24" s="2">
        <f>SUM(I20:I23)</f>
        <v>-56582292.214542381</v>
      </c>
    </row>
    <row r="25" spans="1:9" x14ac:dyDescent="0.15">
      <c r="B25" s="1"/>
      <c r="G25">
        <f>(G20-G24)</f>
        <v>-2705.3456830736654</v>
      </c>
      <c r="H25" s="1"/>
      <c r="I25">
        <f>I10+I24</f>
        <v>20790101.632496022</v>
      </c>
    </row>
  </sheetData>
  <mergeCells count="3">
    <mergeCell ref="A2:A10"/>
    <mergeCell ref="A13:A17"/>
    <mergeCell ref="A20:A24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M5" sqref="M5"/>
    </sheetView>
  </sheetViews>
  <sheetFormatPr defaultColWidth="9" defaultRowHeight="13.5" x14ac:dyDescent="0.15"/>
  <cols>
    <col min="9" max="9" width="12.75" bestFit="1" customWidth="1"/>
  </cols>
  <sheetData>
    <row r="1" spans="1:9" x14ac:dyDescent="0.15">
      <c r="B1" t="s">
        <v>6</v>
      </c>
      <c r="C1" t="s">
        <v>0</v>
      </c>
      <c r="D1" t="s">
        <v>8</v>
      </c>
      <c r="E1" t="s">
        <v>10</v>
      </c>
      <c r="F1" t="s">
        <v>15</v>
      </c>
      <c r="G1" t="s">
        <v>12</v>
      </c>
      <c r="H1" t="s">
        <v>25</v>
      </c>
      <c r="I1" s="1" t="s">
        <v>14</v>
      </c>
    </row>
    <row r="2" spans="1:9" x14ac:dyDescent="0.15">
      <c r="A2" t="s">
        <v>4</v>
      </c>
      <c r="B2" t="s">
        <v>2</v>
      </c>
      <c r="C2">
        <v>100</v>
      </c>
      <c r="D2">
        <v>1236.8</v>
      </c>
      <c r="E2">
        <v>206.7</v>
      </c>
      <c r="F2">
        <v>1.1800906716906889</v>
      </c>
      <c r="G2">
        <v>1321.8598756576844</v>
      </c>
      <c r="H2">
        <v>83903.265013648983</v>
      </c>
      <c r="I2" s="3">
        <f>D2*F2*(D2-D3)*C2</f>
        <v>13807211.910387024</v>
      </c>
    </row>
    <row r="3" spans="1:9" x14ac:dyDescent="0.15">
      <c r="B3" t="s">
        <v>2</v>
      </c>
      <c r="C3">
        <v>100</v>
      </c>
      <c r="D3">
        <v>1142.2</v>
      </c>
      <c r="E3">
        <v>206.7</v>
      </c>
      <c r="F3">
        <v>1.166025007912618</v>
      </c>
      <c r="G3">
        <v>1210.8748955620408</v>
      </c>
      <c r="H3">
        <v>72804.767004084599</v>
      </c>
      <c r="I3" s="3">
        <f t="shared" ref="I3:I9" si="0">D3*F3*(D3-D4)*C3</f>
        <v>12599147.407797502</v>
      </c>
    </row>
    <row r="4" spans="1:9" x14ac:dyDescent="0.15">
      <c r="B4" t="s">
        <v>2</v>
      </c>
      <c r="C4">
        <v>100</v>
      </c>
      <c r="D4">
        <v>1047.6000000000001</v>
      </c>
      <c r="E4">
        <v>206.7</v>
      </c>
      <c r="F4">
        <v>1.1501191905539325</v>
      </c>
      <c r="G4">
        <v>1101.3060246736479</v>
      </c>
      <c r="H4">
        <v>61847.879915245321</v>
      </c>
      <c r="I4" s="3">
        <f t="shared" si="0"/>
        <v>11398021.613669878</v>
      </c>
    </row>
    <row r="5" spans="1:9" x14ac:dyDescent="0.15">
      <c r="B5" t="s">
        <v>2</v>
      </c>
      <c r="C5">
        <v>100</v>
      </c>
      <c r="D5">
        <v>953.00000000000011</v>
      </c>
      <c r="E5">
        <v>206.7</v>
      </c>
      <c r="F5">
        <v>1.1322174395022249</v>
      </c>
      <c r="G5">
        <v>993.33542640275255</v>
      </c>
      <c r="H5">
        <v>51050.820088155779</v>
      </c>
      <c r="I5" s="3">
        <f t="shared" si="0"/>
        <v>10207370.459739571</v>
      </c>
    </row>
    <row r="6" spans="1:9" x14ac:dyDescent="0.15">
      <c r="B6" t="s">
        <v>2</v>
      </c>
      <c r="C6">
        <v>100</v>
      </c>
      <c r="D6">
        <v>858.40000000000009</v>
      </c>
      <c r="E6">
        <v>206.7</v>
      </c>
      <c r="F6">
        <v>1.1123072581027187</v>
      </c>
      <c r="G6">
        <v>887.15411149568934</v>
      </c>
      <c r="H6">
        <v>40432.688597449458</v>
      </c>
      <c r="I6" s="3">
        <f t="shared" si="0"/>
        <v>9032451.0463618375</v>
      </c>
    </row>
    <row r="7" spans="1:9" x14ac:dyDescent="0.15">
      <c r="B7" t="s">
        <v>2</v>
      </c>
      <c r="C7">
        <v>100</v>
      </c>
      <c r="D7">
        <v>763.80000000000007</v>
      </c>
      <c r="E7">
        <v>206.7</v>
      </c>
      <c r="F7">
        <v>1.0906646099673785</v>
      </c>
      <c r="G7">
        <v>782.94204528025193</v>
      </c>
      <c r="H7">
        <v>30011.481975905721</v>
      </c>
      <c r="I7" s="3">
        <f t="shared" si="0"/>
        <v>7880649.491220573</v>
      </c>
    </row>
    <row r="8" spans="1:9" x14ac:dyDescent="0.15">
      <c r="B8" t="s">
        <v>2</v>
      </c>
      <c r="C8">
        <v>100</v>
      </c>
      <c r="D8">
        <v>669.2</v>
      </c>
      <c r="E8">
        <v>206.7</v>
      </c>
      <c r="F8">
        <v>1.068067882594504</v>
      </c>
      <c r="G8">
        <v>680.83125176772307</v>
      </c>
      <c r="H8">
        <v>19800.40262465283</v>
      </c>
      <c r="I8" s="3">
        <f t="shared" si="0"/>
        <v>6761544.7157250121</v>
      </c>
    </row>
    <row r="9" spans="1:9" x14ac:dyDescent="0.15">
      <c r="B9" t="s">
        <v>2</v>
      </c>
      <c r="C9">
        <v>100</v>
      </c>
      <c r="D9">
        <v>574.6</v>
      </c>
      <c r="E9">
        <v>206.7</v>
      </c>
      <c r="F9">
        <v>1.046043833441078</v>
      </c>
      <c r="G9">
        <v>580.84650465689845</v>
      </c>
      <c r="H9">
        <v>9801.9279135703764</v>
      </c>
      <c r="I9" s="3">
        <f t="shared" si="0"/>
        <v>5685997.2021370046</v>
      </c>
    </row>
    <row r="10" spans="1:9" x14ac:dyDescent="0.15">
      <c r="B10" t="s">
        <v>2</v>
      </c>
      <c r="C10">
        <v>100</v>
      </c>
      <c r="D10">
        <v>480</v>
      </c>
      <c r="E10">
        <v>206.7</v>
      </c>
      <c r="F10">
        <v>1.0269724576965171</v>
      </c>
      <c r="G10">
        <v>482.82722552119469</v>
      </c>
      <c r="H10">
        <v>0</v>
      </c>
      <c r="I10" s="2">
        <f>SUM(I2:I9)</f>
        <v>77372393.847038403</v>
      </c>
    </row>
    <row r="11" spans="1:9" x14ac:dyDescent="0.15">
      <c r="G11">
        <v>839.03265013648968</v>
      </c>
    </row>
    <row r="13" spans="1:9" x14ac:dyDescent="0.15">
      <c r="A13" t="s">
        <v>17</v>
      </c>
      <c r="B13" t="s">
        <v>19</v>
      </c>
      <c r="C13">
        <v>0</v>
      </c>
      <c r="D13">
        <v>20</v>
      </c>
      <c r="E13">
        <v>1000</v>
      </c>
      <c r="F13">
        <v>9.203011867234169</v>
      </c>
      <c r="G13">
        <v>5.1133399952226499</v>
      </c>
      <c r="H13">
        <v>0</v>
      </c>
    </row>
    <row r="14" spans="1:9" x14ac:dyDescent="0.15">
      <c r="B14" t="s">
        <v>19</v>
      </c>
      <c r="C14">
        <v>0</v>
      </c>
      <c r="D14">
        <v>165</v>
      </c>
      <c r="E14">
        <v>1000</v>
      </c>
      <c r="F14">
        <v>13.031266978103508</v>
      </c>
      <c r="G14">
        <v>2090.5112442991367</v>
      </c>
      <c r="H14">
        <v>0</v>
      </c>
    </row>
    <row r="15" spans="1:9" x14ac:dyDescent="0.15">
      <c r="B15" t="s">
        <v>19</v>
      </c>
      <c r="C15">
        <v>0</v>
      </c>
      <c r="D15">
        <v>310</v>
      </c>
      <c r="E15">
        <v>1000</v>
      </c>
      <c r="F15">
        <v>14.367491002461577</v>
      </c>
      <c r="G15">
        <v>4105.7330868286535</v>
      </c>
      <c r="H15">
        <v>0</v>
      </c>
    </row>
    <row r="16" spans="1:9" x14ac:dyDescent="0.15">
      <c r="B16" t="s">
        <v>19</v>
      </c>
      <c r="C16">
        <v>0</v>
      </c>
      <c r="D16">
        <v>455</v>
      </c>
      <c r="E16">
        <v>1000</v>
      </c>
      <c r="F16">
        <v>14.51033575732764</v>
      </c>
      <c r="G16">
        <v>6203.5167960827885</v>
      </c>
      <c r="H16">
        <v>0</v>
      </c>
    </row>
    <row r="17" spans="1:9" x14ac:dyDescent="0.15">
      <c r="B17" t="s">
        <v>19</v>
      </c>
      <c r="C17">
        <v>0</v>
      </c>
      <c r="D17">
        <v>600</v>
      </c>
      <c r="E17">
        <v>1000</v>
      </c>
      <c r="F17">
        <v>14.553600206870387</v>
      </c>
      <c r="G17">
        <v>8310.1727483254435</v>
      </c>
      <c r="H17">
        <v>0</v>
      </c>
    </row>
    <row r="18" spans="1:9" x14ac:dyDescent="0.15">
      <c r="G18">
        <v>-8305.0594083302203</v>
      </c>
    </row>
    <row r="20" spans="1:9" x14ac:dyDescent="0.15">
      <c r="A20" t="s">
        <v>21</v>
      </c>
      <c r="B20" t="s">
        <v>23</v>
      </c>
      <c r="C20">
        <v>31.01387949739668</v>
      </c>
      <c r="D20">
        <v>479</v>
      </c>
      <c r="E20">
        <v>1000</v>
      </c>
      <c r="F20">
        <v>5.1926640958154477</v>
      </c>
      <c r="G20">
        <v>2495.904909465708</v>
      </c>
      <c r="H20">
        <v>0</v>
      </c>
      <c r="I20" s="3">
        <f>D20*F20*(D20-D21)*C20</f>
        <v>-10047535.985026088</v>
      </c>
    </row>
    <row r="21" spans="1:9" x14ac:dyDescent="0.15">
      <c r="B21" t="s">
        <v>23</v>
      </c>
      <c r="C21">
        <v>31.01387949739668</v>
      </c>
      <c r="D21">
        <v>609.25</v>
      </c>
      <c r="E21">
        <v>1000</v>
      </c>
      <c r="F21">
        <v>5.1925766916005189</v>
      </c>
      <c r="G21">
        <v>3172.2420432892882</v>
      </c>
      <c r="H21">
        <v>20975.838368019162</v>
      </c>
      <c r="I21" s="3">
        <f t="shared" ref="I21:I23" si="1">D21*F21*(D21-D22)*C21</f>
        <v>-12779453.571850609</v>
      </c>
    </row>
    <row r="22" spans="1:9" x14ac:dyDescent="0.15">
      <c r="B22" t="s">
        <v>23</v>
      </c>
      <c r="C22">
        <v>31.01387949739668</v>
      </c>
      <c r="D22">
        <v>739.5</v>
      </c>
      <c r="E22">
        <v>1000</v>
      </c>
      <c r="F22">
        <v>5.1925806146722318</v>
      </c>
      <c r="G22">
        <v>3848.5749117075329</v>
      </c>
      <c r="H22">
        <v>41951.544449271256</v>
      </c>
      <c r="I22" s="3">
        <f t="shared" si="1"/>
        <v>-15511552.000510193</v>
      </c>
    </row>
    <row r="23" spans="1:9" x14ac:dyDescent="0.15">
      <c r="B23" t="s">
        <v>23</v>
      </c>
      <c r="C23">
        <v>31.01387949739668</v>
      </c>
      <c r="D23">
        <v>869.75</v>
      </c>
      <c r="E23">
        <v>1000</v>
      </c>
      <c r="F23">
        <v>5.1926118900439313</v>
      </c>
      <c r="G23">
        <v>4524.9104293582122</v>
      </c>
      <c r="H23">
        <v>62927.332693498829</v>
      </c>
      <c r="I23" s="3">
        <f t="shared" si="1"/>
        <v>-18243750.657155491</v>
      </c>
    </row>
    <row r="24" spans="1:9" x14ac:dyDescent="0.15">
      <c r="B24" t="s">
        <v>23</v>
      </c>
      <c r="C24">
        <v>31.01387949739668</v>
      </c>
      <c r="D24">
        <v>1000</v>
      </c>
      <c r="E24">
        <v>1000</v>
      </c>
      <c r="F24">
        <v>5.1926500769166504</v>
      </c>
      <c r="G24">
        <v>5201.2505925393734</v>
      </c>
      <c r="H24">
        <v>83903.265013648968</v>
      </c>
      <c r="I24" s="2">
        <f>SUM(I20:I23)</f>
        <v>-56582292.214542381</v>
      </c>
    </row>
    <row r="25" spans="1:9" x14ac:dyDescent="0.15">
      <c r="G25">
        <v>-2705.3456830736654</v>
      </c>
      <c r="I25">
        <f>I10+I24</f>
        <v>20790101.632496022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2026-01-15T09:34:10Z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